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27491688e9a67/Desktop/"/>
    </mc:Choice>
  </mc:AlternateContent>
  <xr:revisionPtr revIDLastSave="15" documentId="8_{D1332838-E545-47BE-8EDC-3904B26035A7}" xr6:coauthVersionLast="47" xr6:coauthVersionMax="47" xr10:uidLastSave="{D346993D-302E-4052-B7AB-5A36F3B861CA}"/>
  <bookViews>
    <workbookView xWindow="-110" yWindow="-110" windowWidth="19420" windowHeight="11500" activeTab="2" xr2:uid="{5922B69D-95AA-4ED6-BD81-F43B3E75EB49}"/>
  </bookViews>
  <sheets>
    <sheet name="Model_Assumptions" sheetId="2" r:id="rId1"/>
    <sheet name="Project_Pipeline_Model" sheetId="1" r:id="rId2"/>
    <sheet name="Executive_Dashboard" sheetId="5" r:id="rId3"/>
  </sheets>
  <definedNames>
    <definedName name="ROI">Project_Pipeline_Model!$I$13:$I$23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" l="1"/>
  <c r="M29" i="1"/>
  <c r="M16" i="1"/>
  <c r="G14" i="1"/>
  <c r="G15" i="1"/>
  <c r="G16" i="1"/>
  <c r="G17" i="1"/>
  <c r="G18" i="1"/>
  <c r="G19" i="1"/>
  <c r="G20" i="1"/>
  <c r="G21" i="1"/>
  <c r="G22" i="1"/>
  <c r="G23" i="1"/>
  <c r="F14" i="1"/>
  <c r="F15" i="1"/>
  <c r="F16" i="1"/>
  <c r="F17" i="1"/>
  <c r="F18" i="1"/>
  <c r="F19" i="1"/>
  <c r="F20" i="1"/>
  <c r="F21" i="1"/>
  <c r="F22" i="1"/>
  <c r="F23" i="1"/>
  <c r="H14" i="1" l="1"/>
  <c r="H18" i="1"/>
  <c r="H20" i="1"/>
  <c r="H15" i="1"/>
  <c r="H23" i="1"/>
  <c r="H22" i="1"/>
  <c r="H21" i="1"/>
  <c r="H19" i="1"/>
  <c r="H17" i="1"/>
  <c r="H16" i="1"/>
  <c r="I16" i="1" s="1"/>
  <c r="M28" i="1" l="1"/>
  <c r="M22" i="1"/>
  <c r="M27" i="1"/>
  <c r="M21" i="1"/>
  <c r="M31" i="1" a="1"/>
  <c r="M31" i="1" s="1"/>
  <c r="M19" i="1"/>
  <c r="M18" i="1"/>
  <c r="M32" i="1" a="1"/>
  <c r="M32" i="1" s="1"/>
  <c r="I15" i="1"/>
  <c r="K23" i="1"/>
  <c r="I23" i="1"/>
  <c r="K17" i="1"/>
  <c r="I17" i="1"/>
  <c r="K21" i="1"/>
  <c r="I21" i="1"/>
  <c r="K22" i="1"/>
  <c r="I22" i="1"/>
  <c r="K18" i="1"/>
  <c r="I18" i="1"/>
  <c r="K19" i="1"/>
  <c r="I19" i="1"/>
  <c r="K14" i="1"/>
  <c r="I14" i="1"/>
  <c r="K20" i="1"/>
  <c r="I20" i="1"/>
  <c r="K16" i="1"/>
  <c r="K15" i="1"/>
  <c r="M34" i="1" l="1"/>
  <c r="M33" i="1"/>
  <c r="M25" i="1"/>
  <c r="M26" i="1"/>
  <c r="J22" i="1"/>
  <c r="J21" i="1"/>
  <c r="M17" i="1"/>
  <c r="J19" i="1"/>
  <c r="J20" i="1"/>
  <c r="J17" i="1"/>
  <c r="J24" i="1"/>
  <c r="J14" i="1"/>
  <c r="J23" i="1"/>
  <c r="M24" i="1"/>
  <c r="J18" i="1"/>
  <c r="J15" i="1"/>
  <c r="J16" i="1"/>
  <c r="M23" i="1"/>
</calcChain>
</file>

<file path=xl/sharedStrings.xml><?xml version="1.0" encoding="utf-8"?>
<sst xmlns="http://schemas.openxmlformats.org/spreadsheetml/2006/main" count="125" uniqueCount="92">
  <si>
    <t>PARAMETER</t>
  </si>
  <si>
    <t>VALUE</t>
  </si>
  <si>
    <t>Low Budget</t>
  </si>
  <si>
    <t>High Budget</t>
  </si>
  <si>
    <t>Mid Budget</t>
  </si>
  <si>
    <t>Avg Theatre Ticket Price</t>
  </si>
  <si>
    <t>Avg Theatre Audience per show</t>
  </si>
  <si>
    <t>Avg No. of Shows per Theatre Project</t>
  </si>
  <si>
    <t>Avg Streaming Rights Revenue</t>
  </si>
  <si>
    <t>Avg Sponsorship Revenue</t>
  </si>
  <si>
    <t>FINANCIAL ASSUMPTIONS</t>
  </si>
  <si>
    <t>OPERATIONAL ASSUMPTIONS</t>
  </si>
  <si>
    <t>PROJECT_ID</t>
  </si>
  <si>
    <t>PROJECT_NAME</t>
  </si>
  <si>
    <t>GENRE</t>
  </si>
  <si>
    <t>FORMAT</t>
  </si>
  <si>
    <t>BUDGET_TYPE</t>
  </si>
  <si>
    <t>Echoes in the Dark</t>
  </si>
  <si>
    <t>Horror</t>
  </si>
  <si>
    <t>Theatre</t>
  </si>
  <si>
    <t>Low</t>
  </si>
  <si>
    <t>Veil of Silence</t>
  </si>
  <si>
    <t>Thriller</t>
  </si>
  <si>
    <t>Streaming</t>
  </si>
  <si>
    <t>High</t>
  </si>
  <si>
    <t>The Hollow Room</t>
  </si>
  <si>
    <t xml:space="preserve">P001 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</si>
  <si>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</si>
  <si>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</si>
  <si>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</si>
  <si>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</si>
  <si>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</si>
  <si>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</si>
  <si>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</si>
  <si>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</si>
  <si>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</si>
  <si>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Fractured Mind</t>
  </si>
  <si>
    <t>Mid</t>
  </si>
  <si>
    <t>The Unseen Corridor</t>
  </si>
  <si>
    <t>Night Without Sound</t>
  </si>
  <si>
    <t>Shattered Pulse</t>
  </si>
  <si>
    <t>The Final Frame</t>
  </si>
  <si>
    <t>Beneath the Static</t>
  </si>
  <si>
    <t>Crimson Exit</t>
  </si>
  <si>
    <t>Planned Budget</t>
  </si>
  <si>
    <t>Budget Type</t>
  </si>
  <si>
    <t>Budget Value</t>
  </si>
  <si>
    <t>Estimated Revenue</t>
  </si>
  <si>
    <t>Profit</t>
  </si>
  <si>
    <t>Status</t>
  </si>
  <si>
    <t>Analysis</t>
  </si>
  <si>
    <t>Metric</t>
  </si>
  <si>
    <t>Value</t>
  </si>
  <si>
    <t>Total Projects</t>
  </si>
  <si>
    <t>Projects to Review</t>
  </si>
  <si>
    <t>Average Profit</t>
  </si>
  <si>
    <t>Total Profit</t>
  </si>
  <si>
    <t>Genre Profit (Thriller)</t>
  </si>
  <si>
    <t>Genre Profit (Horror)</t>
  </si>
  <si>
    <t>Profit Volatility</t>
  </si>
  <si>
    <t>ROI %</t>
  </si>
  <si>
    <t>Average ROI (Horror)</t>
  </si>
  <si>
    <t>Average ROI (Thriller)</t>
  </si>
  <si>
    <t>Top Performer</t>
  </si>
  <si>
    <t>Average ROI (Theatre)</t>
  </si>
  <si>
    <t>Average ROI (Streaming)</t>
  </si>
  <si>
    <t>Total Profit (Theatre)</t>
  </si>
  <si>
    <t>Total Profit (Streaming)</t>
  </si>
  <si>
    <t>Project Count (Theatre)</t>
  </si>
  <si>
    <t>Project Count (Streaming)</t>
  </si>
  <si>
    <t>OBSCURE PRODUCTION — PROJECT DECISION SUMMARY</t>
  </si>
  <si>
    <t xml:space="preserve">Key Insights: </t>
  </si>
  <si>
    <t>Strategic Recommendation:</t>
  </si>
  <si>
    <t>• Increase capital allocation toward Streaming</t>
  </si>
  <si>
    <t>• Streaming generates ₹10.2 Cr total profit with 324% average ROI</t>
  </si>
  <si>
    <t>• Theatre generates ₹1.2 Cr profit with lower ROI (150%)</t>
  </si>
  <si>
    <t>• Strengthen greenlight criteria for Theatre projects</t>
  </si>
  <si>
    <t>• Maintain a hybrid strategy across Streaming and Theatre</t>
  </si>
  <si>
    <t>Profit Volatility (Theatre)</t>
  </si>
  <si>
    <t>Profit Volatility (Streaming)</t>
  </si>
  <si>
    <t>Best Project (ROI)</t>
  </si>
  <si>
    <t>Worst Project (ROI)</t>
  </si>
  <si>
    <t>• Streaming shows higher profit volatility due to larger budgets</t>
  </si>
  <si>
    <t>• Two theatre projects generate negative ROI (-16.67%)</t>
  </si>
  <si>
    <t>ROI</t>
  </si>
  <si>
    <t>PROFIT</t>
  </si>
  <si>
    <t>STATUS</t>
  </si>
  <si>
    <t>COUNT</t>
  </si>
  <si>
    <t>Go</t>
  </si>
  <si>
    <t>Review</t>
  </si>
  <si>
    <t>OBSCURE PRODUCTIONS - PROJECT PERFORMANCE DASHBOARD</t>
  </si>
  <si>
    <t xml:space="preserve">All financial figures in INR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</si>
</sst>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&quot;₹&quot;\ #,##0.00"/>
    <numFmt numFmtId="165" formatCode="&quot;₹&quot;\ #,##0"/>
    <numFmt numFmtId="166" formatCode="0.00\ &quot;Cr&quot;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1" xfId="0" applyBorder="1"/>
    <xf numFmtId="0" fontId="2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0" fillId="11" borderId="14" xfId="0" applyFill="1" applyBorder="1" applyAlignment="1">
      <alignment horizontal="center"/>
    </xf>
    <xf numFmtId="10" fontId="0" fillId="11" borderId="14" xfId="2" applyNumberFormat="1" applyFont="1" applyFill="1" applyBorder="1" applyAlignment="1">
      <alignment horizontal="center"/>
    </xf>
    <xf numFmtId="0" fontId="0" fillId="11" borderId="14" xfId="2" applyNumberFormat="1" applyFont="1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0" fontId="0" fillId="0" borderId="14" xfId="2" applyNumberFormat="1" applyFont="1" applyBorder="1" applyAlignment="1">
      <alignment horizontal="center"/>
    </xf>
    <xf numFmtId="0" fontId="2" fillId="6" borderId="14" xfId="2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49" fontId="0" fillId="11" borderId="11" xfId="0" applyNumberForma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10" fontId="0" fillId="11" borderId="12" xfId="2" applyNumberFormat="1" applyFont="1" applyFill="1" applyBorder="1" applyAlignment="1">
      <alignment horizontal="center"/>
    </xf>
    <xf numFmtId="0" fontId="0" fillId="11" borderId="12" xfId="2" applyNumberFormat="1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49" fontId="0" fillId="11" borderId="14" xfId="0" applyNumberFormat="1" applyFill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8" fillId="10" borderId="0" xfId="0" applyNumberFormat="1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49" fontId="0" fillId="0" borderId="16" xfId="0" applyNumberForma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0" fillId="0" borderId="0" xfId="2" applyNumberFormat="1" applyFont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49" fontId="0" fillId="11" borderId="12" xfId="0" applyNumberForma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166" fontId="0" fillId="11" borderId="14" xfId="3" applyNumberFormat="1" applyFont="1" applyFill="1" applyBorder="1" applyAlignment="1">
      <alignment horizontal="center" vertical="center"/>
    </xf>
    <xf numFmtId="166" fontId="0" fillId="0" borderId="14" xfId="3" applyNumberFormat="1" applyFont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9" fontId="0" fillId="11" borderId="14" xfId="2" applyFont="1" applyFill="1" applyBorder="1" applyAlignment="1">
      <alignment horizontal="center" vertical="center"/>
    </xf>
    <xf numFmtId="166" fontId="0" fillId="0" borderId="14" xfId="0" applyNumberFormat="1" applyBorder="1" applyAlignment="1">
      <alignment horizontal="center"/>
    </xf>
    <xf numFmtId="166" fontId="0" fillId="11" borderId="14" xfId="0" applyNumberFormat="1" applyFill="1" applyBorder="1" applyAlignment="1">
      <alignment horizontal="center"/>
    </xf>
    <xf numFmtId="0" fontId="8" fillId="10" borderId="17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2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Genre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7807250221043331E-2"/>
          <c:y val="0.15764350453172205"/>
          <c:w val="0.92219274977895671"/>
          <c:h val="0.709425981873111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Executive_Dashboard!$B$8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Executive_Dashboard!$A$9:$A$10</c:f>
              <c:strCache>
                <c:ptCount val="2"/>
                <c:pt idx="0">
                  <c:v>Horror</c:v>
                </c:pt>
                <c:pt idx="1">
                  <c:v>Thriller</c:v>
                </c:pt>
              </c:strCache>
            </c:strRef>
          </c:cat>
          <c:val>
            <c:numRef>
              <c:f>Executive_Dashboard!$B$9:$B$10</c:f>
              <c:numCache>
                <c:formatCode>General</c:formatCode>
                <c:ptCount val="2"/>
                <c:pt idx="0">
                  <c:v>1.2</c:v>
                </c:pt>
                <c:pt idx="1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5-4FD6-85DF-FDC22BB89D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48976"/>
        <c:axId val="3373456"/>
      </c:barChart>
      <c:catAx>
        <c:axId val="3348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73456"/>
        <c:crosses val="autoZero"/>
        <c:auto val="1"/>
        <c:lblAlgn val="ctr"/>
        <c:lblOffset val="100"/>
        <c:noMultiLvlLbl val="0"/>
      </c:catAx>
      <c:valAx>
        <c:axId val="3373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4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</a:t>
            </a:r>
            <a:r>
              <a:rPr lang="en-US" baseline="0"/>
              <a:t>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Executive_Dashboard!$B$13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0B-4E30-B913-A932D011B5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0B-4E30-B913-A932D011B5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Executive_Dashboard!$A$14:$A$15</c:f>
              <c:strCache>
                <c:ptCount val="2"/>
                <c:pt idx="0">
                  <c:v>Go</c:v>
                </c:pt>
                <c:pt idx="1">
                  <c:v>Review</c:v>
                </c:pt>
              </c:strCache>
            </c:strRef>
          </c:cat>
          <c:val>
            <c:numRef>
              <c:f>Executive_Dashboard!$B$14:$B$15</c:f>
              <c:numCache>
                <c:formatCode>General</c:formatCode>
                <c:ptCount val="2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C-4295-AD32-BC2DA907E4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</a:t>
            </a:r>
            <a:r>
              <a:rPr lang="en-IN" baseline="0"/>
              <a:t> vs Profit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Project_Pipeline_Model!$F$14:$F$23</c:f>
              <c:numCache>
                <c:formatCode>General</c:formatCode>
                <c:ptCount val="10"/>
                <c:pt idx="0">
                  <c:v>1500000</c:v>
                </c:pt>
                <c:pt idx="1">
                  <c:v>25000000</c:v>
                </c:pt>
                <c:pt idx="2">
                  <c:v>1500000</c:v>
                </c:pt>
                <c:pt idx="3">
                  <c:v>6000000</c:v>
                </c:pt>
                <c:pt idx="4">
                  <c:v>6000000</c:v>
                </c:pt>
                <c:pt idx="5">
                  <c:v>1500000</c:v>
                </c:pt>
                <c:pt idx="6">
                  <c:v>6000000</c:v>
                </c:pt>
                <c:pt idx="7">
                  <c:v>6000000</c:v>
                </c:pt>
                <c:pt idx="8">
                  <c:v>25000000</c:v>
                </c:pt>
                <c:pt idx="9">
                  <c:v>1500000</c:v>
                </c:pt>
              </c:numCache>
            </c:numRef>
          </c:xVal>
          <c:yVal>
            <c:numRef>
              <c:f>Project_Pipeline_Model!$H$14:$H$23</c:f>
              <c:numCache>
                <c:formatCode>General</c:formatCode>
                <c:ptCount val="10"/>
                <c:pt idx="0">
                  <c:v>3500000</c:v>
                </c:pt>
                <c:pt idx="1">
                  <c:v>16000000</c:v>
                </c:pt>
                <c:pt idx="2">
                  <c:v>3500000</c:v>
                </c:pt>
                <c:pt idx="3">
                  <c:v>35000000</c:v>
                </c:pt>
                <c:pt idx="4">
                  <c:v>-1000000</c:v>
                </c:pt>
                <c:pt idx="5">
                  <c:v>3500000</c:v>
                </c:pt>
                <c:pt idx="6">
                  <c:v>35000000</c:v>
                </c:pt>
                <c:pt idx="7">
                  <c:v>-1000000</c:v>
                </c:pt>
                <c:pt idx="8">
                  <c:v>16000000</c:v>
                </c:pt>
                <c:pt idx="9">
                  <c:v>3500000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70-4DE9-AC38-A066668A5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536"/>
        <c:axId val="3371056"/>
      </c:scatterChart>
      <c:valAx>
        <c:axId val="3359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Planned</a:t>
                </a:r>
                <a:r>
                  <a:rPr lang="en-IN" baseline="0"/>
                  <a:t> Budget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3187593486298081"/>
              <c:y val="0.84453783453021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1056"/>
        <c:crossesAt val="0"/>
        <c:crossBetween val="midCat"/>
      </c:valAx>
      <c:valAx>
        <c:axId val="33710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,&quot;M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ROI Comparison</a:t>
            </a:r>
            <a:r>
              <a:rPr lang="en-IN" baseline="0"/>
              <a:t> by Format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1567147856517928E-2"/>
          <c:y val="0.17171296296296298"/>
          <c:w val="0.87232174103237092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Executive_Dashboard!$B$3</c:f>
              <c:strCache>
                <c:ptCount val="1"/>
                <c:pt idx="0">
                  <c:v>ROI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Executive_Dashboard!$A$4:$A$5</c:f>
              <c:strCache>
                <c:ptCount val="2"/>
                <c:pt idx="0">
                  <c:v>Theatre</c:v>
                </c:pt>
                <c:pt idx="1">
                  <c:v>Streaming</c:v>
                </c:pt>
              </c:strCache>
            </c:strRef>
          </c:cat>
          <c:val>
            <c:numRef>
              <c:f>Executive_Dashboard!$B$4:$B$5</c:f>
              <c:numCache>
                <c:formatCode>0%</c:formatCode>
                <c:ptCount val="2"/>
                <c:pt idx="0">
                  <c:v>1.5</c:v>
                </c:pt>
                <c:pt idx="1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9-4302-A651-4A1A9908B6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201552"/>
        <c:axId val="130197232"/>
      </c:barChart>
      <c:catAx>
        <c:axId val="1302015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97232"/>
        <c:crosses val="autoZero"/>
        <c:auto val="1"/>
        <c:lblAlgn val="ctr"/>
        <c:lblOffset val="100"/>
        <c:noMultiLvlLbl val="0"/>
      </c:catAx>
      <c:valAx>
        <c:axId val="1301972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020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422275</xdr:colOff>
      <xdr:row>1</xdr:row>
      <xdr:rowOff>6350</xdr:rowOff>
    </xdr:from>
    <xdr:to>
      <xdr:col>15</xdr:col>
      <xdr:colOff>127000</xdr:colOff>
      <xdr:row>9</xdr:row>
      <xdr:rowOff>137965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1CBED-D419-38F9-6113-187ABD855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555625</xdr:colOff>
      <xdr:row>10</xdr:row>
      <xdr:rowOff>50800</xdr:rowOff>
    </xdr:from>
    <xdr:to>
      <xdr:col>9</xdr:col>
      <xdr:colOff>76200</xdr:colOff>
      <xdr:row>20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8CB1E9-A98D-550C-313A-B3F37966E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298450</xdr:colOff>
      <xdr:row>10</xdr:row>
      <xdr:rowOff>57150</xdr:rowOff>
    </xdr:from>
    <xdr:to>
      <xdr:col>15</xdr:col>
      <xdr:colOff>412750</xdr:colOff>
      <xdr:row>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76E322-4AFC-4D42-9E81-4760B0779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3175</xdr:colOff>
      <xdr:row>0</xdr:row>
      <xdr:rowOff>355600</xdr:rowOff>
    </xdr:from>
    <xdr:to>
      <xdr:col>8</xdr:col>
      <xdr:colOff>514350</xdr:colOff>
      <xdr:row>9</xdr:row>
      <xdr:rowOff>173028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B6AD99-9A94-8AE7-5790-D092567CB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1AFDC0-5288-472D-BAD8-5F084470BC94}" name="tbl_budget" displayName="tbl_budget" ref="A13:B16" totalsRowShown="0" headerRowDxfId="25" headerRowBorderDxfId="24" tableBorderDxfId="23" totalsRowBorderDxfId="22">
  <autoFilter ref="A13:B16" xr:uid="{0B1AFDC0-5288-472D-BAD8-5F084470BC94}"/>
  <tableColumns count="2">
    <tableColumn id="1" xr3:uid="{972E7BE3-4355-49C7-8BAA-5971BFEB3F37}" name="Budget Type" dataDxfId="21"/>
    <tableColumn id="2" xr3:uid="{6424B78D-D622-4DAA-880B-B83AB7F73E97}" name="Budget Valu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0B888B-C593-4A19-BE89-298CEE6B7DB1}" name="Table2" displayName="Table2" ref="A13:M34" totalsRowShown="0" headerRowDxfId="19" tableBorderDxfId="18">
  <autoFilter ref="A13:M34" xr:uid="{4B0B888B-C593-4A19-BE89-298CEE6B7DB1}"/>
  <tableColumns count="13">
    <tableColumn id="1" xr3:uid="{4F92942B-AE31-4E9D-B401-FED940EF494B}" name="PROJECT_ID" dataDxfId="17"/>
    <tableColumn id="2" xr3:uid="{2B1B16F0-6CE9-4A4F-B500-0927B672D429}" name="PROJECT_NAME" dataDxfId="16"/>
    <tableColumn id="3" xr3:uid="{FADF2CFF-0526-48E1-95DD-D50F08CC4844}" name="GENRE" dataDxfId="15"/>
    <tableColumn id="4" xr3:uid="{B6A2257E-B300-4427-BE1C-D14708F0175B}" name="FORMAT" dataDxfId="14"/>
    <tableColumn id="5" xr3:uid="{AE83C3A8-47C4-4EAC-B08D-C03EFC089A6C}" name="BUDGET_TYPE" dataDxfId="13"/>
    <tableColumn id="6" xr3:uid="{653150A2-1C8E-45A6-A933-DE2E2FEE6FA9}" name="Planned Budget" dataDxfId="12"/>
    <tableColumn id="7" xr3:uid="{8A950ADB-C127-4C52-894C-EAE163AEA846}" name="Estimated Revenue" dataDxfId="11"/>
    <tableColumn id="8" xr3:uid="{7C442496-C0D6-4315-BCAB-15526245076D}" name="Profit" dataDxfId="10"/>
    <tableColumn id="9" xr3:uid="{DECA100A-1844-4136-86F2-3EF0C0A82412}" name="ROI %" dataDxfId="9" dataCellStyle="Percent"/>
    <tableColumn id="10" xr3:uid="{66782552-7AC1-46B6-A32B-753A303BBBAF}" name="Top Performer" dataDxfId="8" dataCellStyle="Percent"/>
    <tableColumn id="11" xr3:uid="{14E279C2-EE78-4C41-B8FF-9C3A4F7D3901}" name="Status" dataDxfId="7"/>
    <tableColumn id="12" xr3:uid="{E5B5FFD7-5DF2-4C41-8B12-ECBBD15A323E}" name="Analysis" dataDxfId="6"/>
    <tableColumn id="13" xr3:uid="{12A05722-4ED9-4BAC-8E74-A7923BEC5209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C199-CEE6-4793-BBCE-9F13F8130802}">
  <dimension ref="A1:E16"/>
  <sheetViews>
    <sheetView workbookViewId="0">
      <selection activeCell="E13" sqref="E13"/>
    </sheetView>
  </sheetViews>
  <sheetFormatPr defaultRowHeight="14.5"/>
  <cols>
    <col min="1" max="1" width="36.36328125" customWidth="1"/>
    <col min="2" max="2" width="20.453125" customWidth="1"/>
  </cols>
  <sheetData>
    <row r="1" spans="1:5">
      <c r="A1" s="4" t="s">
        <v>0</v>
      </c>
      <c r="B1" s="5" t="s">
        <v>1</v>
      </c>
    </row>
    <row r="2" spans="1:5" ht="15.5">
      <c r="A2" s="59" t="s">
        <v>10</v>
      </c>
      <c r="B2" s="59"/>
    </row>
    <row r="3" spans="1:5">
      <c r="A3" s="6" t="s">
        <v>2</v>
      </c>
      <c r="B3" s="7">
        <v>1500000</v>
      </c>
    </row>
    <row r="4" spans="1:5">
      <c r="A4" s="1" t="s">
        <v>4</v>
      </c>
      <c r="B4" s="3">
        <v>6000000</v>
      </c>
    </row>
    <row r="5" spans="1:5">
      <c r="A5" s="1" t="s">
        <v>3</v>
      </c>
      <c r="B5" s="3">
        <v>25000000</v>
      </c>
    </row>
    <row r="6" spans="1:5">
      <c r="A6" s="1" t="s">
        <v>5</v>
      </c>
      <c r="B6" s="3">
        <v>500</v>
      </c>
    </row>
    <row r="7" spans="1:5">
      <c r="A7" s="1" t="s">
        <v>8</v>
      </c>
      <c r="B7" s="3">
        <v>40000000</v>
      </c>
    </row>
    <row r="8" spans="1:5">
      <c r="A8" s="8" t="s">
        <v>9</v>
      </c>
      <c r="B8" s="9">
        <v>1000000</v>
      </c>
    </row>
    <row r="9" spans="1:5" ht="15.5">
      <c r="A9" s="60" t="s">
        <v>11</v>
      </c>
      <c r="B9" s="60"/>
    </row>
    <row r="10" spans="1:5">
      <c r="A10" s="6" t="s">
        <v>6</v>
      </c>
      <c r="B10" s="10">
        <v>400</v>
      </c>
    </row>
    <row r="11" spans="1:5">
      <c r="A11" s="1" t="s">
        <v>7</v>
      </c>
      <c r="B11" s="2">
        <v>20</v>
      </c>
      <c r="E11" s="11"/>
    </row>
    <row r="13" spans="1:5">
      <c r="A13" s="15" t="s">
        <v>45</v>
      </c>
      <c r="B13" s="16" t="s">
        <v>46</v>
      </c>
    </row>
    <row r="14" spans="1:5">
      <c r="A14" s="13" t="s">
        <v>20</v>
      </c>
      <c r="B14" s="64">
        <v>1500000</v>
      </c>
    </row>
    <row r="15" spans="1:5">
      <c r="A15" s="13" t="s">
        <v>37</v>
      </c>
      <c r="B15" s="64">
        <v>6000000</v>
      </c>
    </row>
    <row r="16" spans="1:5">
      <c r="A16" s="14" t="s">
        <v>24</v>
      </c>
      <c r="B16" s="65">
        <v>25000000</v>
      </c>
    </row>
  </sheetData>
  <mergeCells count="2">
    <mergeCell ref="A2:B2"/>
    <mergeCell ref="A9:B9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4E3C-C549-4D99-9F8A-A8D30C346B98}">
  <dimension ref="A1:M36"/>
  <sheetViews>
    <sheetView zoomScale="59" zoomScaleNormal="59" workbookViewId="0">
      <selection activeCell="H6" sqref="H6"/>
    </sheetView>
  </sheetViews>
  <sheetFormatPr defaultColWidth="13.26953125" defaultRowHeight="14.5"/>
  <cols>
    <col min="1" max="1" width="18.1796875" style="12" customWidth="1"/>
    <col min="2" max="2" width="22.36328125" customWidth="1"/>
    <col min="5" max="5" width="19.453125" customWidth="1"/>
    <col min="6" max="6" width="31.1796875" customWidth="1"/>
    <col min="7" max="7" width="43.1796875" customWidth="1"/>
    <col min="9" max="9" width="13" customWidth="1"/>
    <col min="10" max="10" width="18.81640625" bestFit="1" customWidth="1"/>
    <col min="11" max="11" width="22.7265625" customWidth="1"/>
    <col min="12" max="12" width="26.08984375" customWidth="1"/>
    <col min="13" max="13" width="22.81640625" customWidth="1"/>
  </cols>
  <sheetData>
    <row r="1" spans="1:13" ht="18.5">
      <c r="F1" s="63" t="s">
        <v>91</v>
      </c>
      <c r="G1" s="63"/>
    </row>
    <row r="2" spans="1:13" ht="21">
      <c r="F2" s="61" t="s">
        <v>70</v>
      </c>
      <c r="G2" s="61"/>
    </row>
    <row r="3" spans="1:13" ht="18.5">
      <c r="F3" s="62" t="s">
        <v>71</v>
      </c>
      <c r="G3" s="62"/>
    </row>
    <row r="4" spans="1:13">
      <c r="F4" s="17" t="s">
        <v>74</v>
      </c>
      <c r="G4" s="17"/>
    </row>
    <row r="5" spans="1:13">
      <c r="F5" s="17" t="s">
        <v>75</v>
      </c>
      <c r="G5" s="17"/>
    </row>
    <row r="6" spans="1:13">
      <c r="F6" s="17" t="s">
        <v>83</v>
      </c>
      <c r="G6" s="17"/>
    </row>
    <row r="7" spans="1:13">
      <c r="F7" s="17" t="s">
        <v>82</v>
      </c>
      <c r="G7" s="17"/>
    </row>
    <row r="8" spans="1:13" ht="18.5">
      <c r="F8" s="62" t="s">
        <v>72</v>
      </c>
      <c r="G8" s="62"/>
    </row>
    <row r="9" spans="1:13">
      <c r="F9" s="17" t="s">
        <v>73</v>
      </c>
      <c r="G9" s="17"/>
    </row>
    <row r="10" spans="1:13">
      <c r="F10" s="17" t="s">
        <v>76</v>
      </c>
      <c r="G10" s="17"/>
    </row>
    <row r="11" spans="1:13">
      <c r="F11" s="17" t="s">
        <v>77</v>
      </c>
      <c r="G11" s="17"/>
    </row>
    <row r="13" spans="1:13">
      <c r="A13" s="41" t="s">
        <v>12</v>
      </c>
      <c r="B13" s="42" t="s">
        <v>13</v>
      </c>
      <c r="C13" s="42" t="s">
        <v>14</v>
      </c>
      <c r="D13" s="42" t="s">
        <v>15</v>
      </c>
      <c r="E13" s="42" t="s">
        <v>16</v>
      </c>
      <c r="F13" s="42" t="s">
        <v>44</v>
      </c>
      <c r="G13" s="42" t="s">
        <v>47</v>
      </c>
      <c r="H13" s="43" t="s">
        <v>48</v>
      </c>
      <c r="I13" s="43" t="s">
        <v>60</v>
      </c>
      <c r="J13" s="43" t="s">
        <v>63</v>
      </c>
      <c r="K13" s="58" t="s">
        <v>49</v>
      </c>
      <c r="L13" s="42" t="s">
        <v>50</v>
      </c>
      <c r="M13" s="42" t="s">
        <v>52</v>
      </c>
    </row>
    <row r="14" spans="1:13">
      <c r="A14" s="39" t="s">
        <v>26</v>
      </c>
      <c r="B14" s="25" t="s">
        <v>17</v>
      </c>
      <c r="C14" s="25" t="s">
        <v>18</v>
      </c>
      <c r="D14" s="25" t="s">
        <v>19</v>
      </c>
      <c r="E14" s="25" t="s">
        <v>20</v>
      </c>
      <c r="F14" s="25">
        <f>_xlfn.XLOOKUP(Project_Pipeline_Model!$E14,tbl_budget[Budget Type],tbl_budget[Budget Value])</f>
        <v>1500000</v>
      </c>
      <c r="G14" s="25">
        <f>IF(Project_Pipeline_Model!$D14="Theatre",
(Model_Assumptions!$B$6*Model_Assumptions!$B$10*Model_Assumptions!$B$11)+Model_Assumptions!$B$8,
Model_Assumptions!$B$7+Model_Assumptions!$B$8)</f>
        <v>5000000</v>
      </c>
      <c r="H14" s="25">
        <f>Project_Pipeline_Model!$G14-Project_Pipeline_Model!$F14</f>
        <v>3500000</v>
      </c>
      <c r="I14" s="26">
        <f>Project_Pipeline_Model!$H14/Project_Pipeline_Model!$F14</f>
        <v>2.3333333333333335</v>
      </c>
      <c r="J14" s="27" t="str">
        <f>IF(Project_Pipeline_Model!$I14=MAX(ROI),"Top Performer","")</f>
        <v/>
      </c>
      <c r="K14" s="47" t="str">
        <f>IF(Project_Pipeline_Model!$H14&gt;0,"Go","Review")</f>
        <v>Go</v>
      </c>
      <c r="L14" s="25"/>
      <c r="M14" s="25"/>
    </row>
    <row r="15" spans="1:13">
      <c r="A15" s="40" t="s">
        <v>27</v>
      </c>
      <c r="B15" s="29" t="s">
        <v>21</v>
      </c>
      <c r="C15" s="29" t="s">
        <v>22</v>
      </c>
      <c r="D15" s="29" t="s">
        <v>23</v>
      </c>
      <c r="E15" s="29" t="s">
        <v>24</v>
      </c>
      <c r="F15" s="29">
        <f>_xlfn.XLOOKUP(Project_Pipeline_Model!$E15,tbl_budget[Budget Type],tbl_budget[Budget Value])</f>
        <v>25000000</v>
      </c>
      <c r="G15" s="29">
        <f>IF(Project_Pipeline_Model!$D15="Theatre",
(Model_Assumptions!$B$6*Model_Assumptions!$B$10*Model_Assumptions!$B$11)+Model_Assumptions!$B$8,
Model_Assumptions!$B$7+Model_Assumptions!$B$8)</f>
        <v>41000000</v>
      </c>
      <c r="H15" s="29">
        <f>Project_Pipeline_Model!$G15-Project_Pipeline_Model!$F15</f>
        <v>16000000</v>
      </c>
      <c r="I15" s="30">
        <f>Project_Pipeline_Model!$H15/Project_Pipeline_Model!$F15</f>
        <v>0.64</v>
      </c>
      <c r="J15" s="31" t="str">
        <f>IF(Project_Pipeline_Model!$I15=MAX(ROI),"Top Performer","")</f>
        <v/>
      </c>
      <c r="K15" s="48" t="str">
        <f>IF(Project_Pipeline_Model!$H15&gt;0,"Go","Review")</f>
        <v>Go</v>
      </c>
      <c r="L15" s="29" t="s">
        <v>51</v>
      </c>
      <c r="M15" s="50" t="s">
        <v>52</v>
      </c>
    </row>
    <row r="16" spans="1:13">
      <c r="A16" s="39" t="s">
        <v>28</v>
      </c>
      <c r="B16" s="25" t="s">
        <v>25</v>
      </c>
      <c r="C16" s="25" t="s">
        <v>18</v>
      </c>
      <c r="D16" s="25" t="s">
        <v>19</v>
      </c>
      <c r="E16" s="25" t="s">
        <v>20</v>
      </c>
      <c r="F16" s="25">
        <f>_xlfn.XLOOKUP(Project_Pipeline_Model!$E16,tbl_budget[Budget Type],tbl_budget[Budget Value])</f>
        <v>1500000</v>
      </c>
      <c r="G16" s="25">
        <f>IF(Project_Pipeline_Model!$D16="Theatre",
(Model_Assumptions!$B$6*Model_Assumptions!$B$10*Model_Assumptions!$B$11)+Model_Assumptions!$B$8,
Model_Assumptions!$B$7+Model_Assumptions!$B$8)</f>
        <v>5000000</v>
      </c>
      <c r="H16" s="25">
        <f>Project_Pipeline_Model!$G16-Project_Pipeline_Model!$F16</f>
        <v>3500000</v>
      </c>
      <c r="I16" s="26">
        <f>Project_Pipeline_Model!$H16/Project_Pipeline_Model!$F16</f>
        <v>2.3333333333333335</v>
      </c>
      <c r="J16" s="27" t="str">
        <f>IF(Project_Pipeline_Model!$I16=MAX(ROI),"Top Performer","")</f>
        <v/>
      </c>
      <c r="K16" s="47" t="str">
        <f>IF(Project_Pipeline_Model!$H16&gt;0,"Go","Review")</f>
        <v>Go</v>
      </c>
      <c r="L16" s="25" t="s">
        <v>53</v>
      </c>
      <c r="M16" s="51">
        <f>COUNTA(Project_Pipeline_Model!$B$14:$B$36)</f>
        <v>10</v>
      </c>
    </row>
    <row r="17" spans="1:13">
      <c r="A17" s="40" t="s">
        <v>29</v>
      </c>
      <c r="B17" s="29" t="s">
        <v>36</v>
      </c>
      <c r="C17" s="29" t="s">
        <v>22</v>
      </c>
      <c r="D17" s="29" t="s">
        <v>23</v>
      </c>
      <c r="E17" s="29" t="s">
        <v>37</v>
      </c>
      <c r="F17" s="29">
        <f>_xlfn.XLOOKUP(Project_Pipeline_Model!$E17,tbl_budget[Budget Type],tbl_budget[Budget Value])</f>
        <v>6000000</v>
      </c>
      <c r="G17" s="29">
        <f>IF(Project_Pipeline_Model!$D17="Theatre",
(Model_Assumptions!$B$6*Model_Assumptions!$B$10*Model_Assumptions!$B$11)+Model_Assumptions!$B$8,
Model_Assumptions!$B$7+Model_Assumptions!$B$8)</f>
        <v>41000000</v>
      </c>
      <c r="H17" s="29">
        <f>Project_Pipeline_Model!$G17-Project_Pipeline_Model!$F17</f>
        <v>35000000</v>
      </c>
      <c r="I17" s="30">
        <f>Project_Pipeline_Model!$H17/Project_Pipeline_Model!$F17</f>
        <v>5.833333333333333</v>
      </c>
      <c r="J17" s="32" t="str">
        <f>IF(Project_Pipeline_Model!$I17=MAX(ROI),"Top Performer","")</f>
        <v>Top Performer</v>
      </c>
      <c r="K17" s="48" t="str">
        <f>IF(Project_Pipeline_Model!$H17&gt;0,"Go","Review")</f>
        <v>Go</v>
      </c>
      <c r="L17" s="29" t="s">
        <v>54</v>
      </c>
      <c r="M17" s="50">
        <f>COUNTIF(Project_Pipeline_Model!$K$14:$K$36,"Review")</f>
        <v>2</v>
      </c>
    </row>
    <row r="18" spans="1:13">
      <c r="A18" s="39" t="s">
        <v>30</v>
      </c>
      <c r="B18" s="25" t="s">
        <v>38</v>
      </c>
      <c r="C18" s="25" t="s">
        <v>18</v>
      </c>
      <c r="D18" s="25" t="s">
        <v>19</v>
      </c>
      <c r="E18" s="25" t="s">
        <v>37</v>
      </c>
      <c r="F18" s="25">
        <f>_xlfn.XLOOKUP(Project_Pipeline_Model!$E18,tbl_budget[Budget Type],tbl_budget[Budget Value])</f>
        <v>6000000</v>
      </c>
      <c r="G18" s="25">
        <f>IF(Project_Pipeline_Model!$D18="Theatre",
(Model_Assumptions!$B$6*Model_Assumptions!$B$10*Model_Assumptions!$B$11)+Model_Assumptions!$B$8,
Model_Assumptions!$B$7+Model_Assumptions!$B$8)</f>
        <v>5000000</v>
      </c>
      <c r="H18" s="25">
        <f>Project_Pipeline_Model!$G18-Project_Pipeline_Model!$F18</f>
        <v>-1000000</v>
      </c>
      <c r="I18" s="26">
        <f>Project_Pipeline_Model!$H18/Project_Pipeline_Model!$F18</f>
        <v>-0.16666666666666666</v>
      </c>
      <c r="J18" s="27" t="str">
        <f>IF(Project_Pipeline_Model!$I18=MAX(ROI),"Top Performer","")</f>
        <v/>
      </c>
      <c r="K18" s="47" t="str">
        <f>IF(Project_Pipeline_Model!$H18&gt;0,"Go","Review")</f>
        <v>Review</v>
      </c>
      <c r="L18" s="25" t="s">
        <v>55</v>
      </c>
      <c r="M18" s="52">
        <f>AVERAGE(Project_Pipeline_Model!$H$14:$H$36)/10000000</f>
        <v>1.1399999999999999</v>
      </c>
    </row>
    <row r="19" spans="1:13">
      <c r="A19" s="40" t="s">
        <v>31</v>
      </c>
      <c r="B19" s="29" t="s">
        <v>39</v>
      </c>
      <c r="C19" s="29" t="s">
        <v>18</v>
      </c>
      <c r="D19" s="29" t="s">
        <v>19</v>
      </c>
      <c r="E19" s="29" t="s">
        <v>20</v>
      </c>
      <c r="F19" s="29">
        <f>_xlfn.XLOOKUP(Project_Pipeline_Model!$E19,tbl_budget[Budget Type],tbl_budget[Budget Value])</f>
        <v>1500000</v>
      </c>
      <c r="G19" s="29">
        <f>IF(Project_Pipeline_Model!$D19="Theatre",
(Model_Assumptions!$B$6*Model_Assumptions!$B$10*Model_Assumptions!$B$11)+Model_Assumptions!$B$8,
Model_Assumptions!$B$7+Model_Assumptions!$B$8)</f>
        <v>5000000</v>
      </c>
      <c r="H19" s="29">
        <f>Project_Pipeline_Model!$G19-Project_Pipeline_Model!$F19</f>
        <v>3500000</v>
      </c>
      <c r="I19" s="30">
        <f>Project_Pipeline_Model!$H19/Project_Pipeline_Model!$F19</f>
        <v>2.3333333333333335</v>
      </c>
      <c r="J19" s="31" t="str">
        <f>IF(Project_Pipeline_Model!$I19=MAX(ROI),"Top Performer","")</f>
        <v/>
      </c>
      <c r="K19" s="48" t="str">
        <f>IF(Project_Pipeline_Model!$H19&gt;0,"Go","Review")</f>
        <v>Go</v>
      </c>
      <c r="L19" s="29" t="s">
        <v>56</v>
      </c>
      <c r="M19" s="53">
        <f>SUM(Project_Pipeline_Model!$H$14:$H$36)/10000000</f>
        <v>11.4</v>
      </c>
    </row>
    <row r="20" spans="1:13">
      <c r="A20" s="39" t="s">
        <v>32</v>
      </c>
      <c r="B20" s="25" t="s">
        <v>40</v>
      </c>
      <c r="C20" s="25" t="s">
        <v>22</v>
      </c>
      <c r="D20" s="25" t="s">
        <v>23</v>
      </c>
      <c r="E20" s="25" t="s">
        <v>37</v>
      </c>
      <c r="F20" s="25">
        <f>_xlfn.XLOOKUP(Project_Pipeline_Model!$E20,tbl_budget[Budget Type],tbl_budget[Budget Value])</f>
        <v>6000000</v>
      </c>
      <c r="G20" s="25">
        <f>IF(Project_Pipeline_Model!$D20="Theatre",
(Model_Assumptions!$B$6*Model_Assumptions!$B$10*Model_Assumptions!$B$11)+Model_Assumptions!$B$8,
Model_Assumptions!$B$7+Model_Assumptions!$B$8)</f>
        <v>41000000</v>
      </c>
      <c r="H20" s="25">
        <f>Project_Pipeline_Model!$G20-Project_Pipeline_Model!$F20</f>
        <v>35000000</v>
      </c>
      <c r="I20" s="26">
        <f>Project_Pipeline_Model!$H20/Project_Pipeline_Model!$F20</f>
        <v>5.833333333333333</v>
      </c>
      <c r="J20" s="32" t="str">
        <f>IF(Project_Pipeline_Model!$I20=MAX(ROI),"Top Performer","")</f>
        <v>Top Performer</v>
      </c>
      <c r="K20" s="47" t="str">
        <f>IF(Project_Pipeline_Model!$H20&gt;0,"Go","Review")</f>
        <v>Go</v>
      </c>
      <c r="L20" s="25" t="s">
        <v>59</v>
      </c>
      <c r="M20" s="51"/>
    </row>
    <row r="21" spans="1:13">
      <c r="A21" s="40" t="s">
        <v>33</v>
      </c>
      <c r="B21" s="29" t="s">
        <v>41</v>
      </c>
      <c r="C21" s="29" t="s">
        <v>18</v>
      </c>
      <c r="D21" s="29" t="s">
        <v>19</v>
      </c>
      <c r="E21" s="29" t="s">
        <v>37</v>
      </c>
      <c r="F21" s="29">
        <f>_xlfn.XLOOKUP(Project_Pipeline_Model!$E21,tbl_budget[Budget Type],tbl_budget[Budget Value])</f>
        <v>6000000</v>
      </c>
      <c r="G21" s="29">
        <f>IF(Project_Pipeline_Model!$D21="Theatre",
(Model_Assumptions!$B$6*Model_Assumptions!$B$10*Model_Assumptions!$B$11)+Model_Assumptions!$B$8,
Model_Assumptions!$B$7+Model_Assumptions!$B$8)</f>
        <v>5000000</v>
      </c>
      <c r="H21" s="29">
        <f>Project_Pipeline_Model!$G21-Project_Pipeline_Model!$F21</f>
        <v>-1000000</v>
      </c>
      <c r="I21" s="30">
        <f>Project_Pipeline_Model!$H21/Project_Pipeline_Model!$F21</f>
        <v>-0.16666666666666666</v>
      </c>
      <c r="J21" s="31" t="str">
        <f>IF(Project_Pipeline_Model!$I21=MAX(ROI),"Top Performer","")</f>
        <v/>
      </c>
      <c r="K21" s="48" t="str">
        <f>IF(Project_Pipeline_Model!$H21&gt;0,"Go","Review")</f>
        <v>Review</v>
      </c>
      <c r="L21" s="29" t="s">
        <v>58</v>
      </c>
      <c r="M21" s="53">
        <f>SUMIF(Project_Pipeline_Model!$C$14:$C$36,"Horror",Project_Pipeline_Model!$H$14:$H$36)/10000000</f>
        <v>1.2</v>
      </c>
    </row>
    <row r="22" spans="1:13">
      <c r="A22" s="39" t="s">
        <v>34</v>
      </c>
      <c r="B22" s="25" t="s">
        <v>42</v>
      </c>
      <c r="C22" s="25" t="s">
        <v>22</v>
      </c>
      <c r="D22" s="25" t="s">
        <v>23</v>
      </c>
      <c r="E22" s="25" t="s">
        <v>24</v>
      </c>
      <c r="F22" s="25">
        <f>_xlfn.XLOOKUP(Project_Pipeline_Model!$E22,tbl_budget[Budget Type],tbl_budget[Budget Value])</f>
        <v>25000000</v>
      </c>
      <c r="G22" s="25">
        <f>IF(Project_Pipeline_Model!$D22="Theatre",
(Model_Assumptions!$B$6*Model_Assumptions!$B$10*Model_Assumptions!$B$11)+Model_Assumptions!$B$8,
Model_Assumptions!$B$7+Model_Assumptions!$B$8)</f>
        <v>41000000</v>
      </c>
      <c r="H22" s="25">
        <f>Project_Pipeline_Model!$G22-Project_Pipeline_Model!$F22</f>
        <v>16000000</v>
      </c>
      <c r="I22" s="26">
        <f>Project_Pipeline_Model!$H22/Project_Pipeline_Model!$F22</f>
        <v>0.64</v>
      </c>
      <c r="J22" s="27" t="str">
        <f>IF(Project_Pipeline_Model!$I22=MAX(ROI),"Top Performer","")</f>
        <v/>
      </c>
      <c r="K22" s="47" t="str">
        <f>IF(Project_Pipeline_Model!$H22&gt;0,"Go","Review")</f>
        <v>Go</v>
      </c>
      <c r="L22" s="25" t="s">
        <v>57</v>
      </c>
      <c r="M22" s="52">
        <f>SUMIF(Project_Pipeline_Model!$C$14:$C$36,"Thriller",Project_Pipeline_Model!$H$14:$H$36)/10000000</f>
        <v>10.199999999999999</v>
      </c>
    </row>
    <row r="23" spans="1:13">
      <c r="A23" s="40" t="s">
        <v>35</v>
      </c>
      <c r="B23" s="29" t="s">
        <v>43</v>
      </c>
      <c r="C23" s="29" t="s">
        <v>18</v>
      </c>
      <c r="D23" s="29" t="s">
        <v>19</v>
      </c>
      <c r="E23" s="29" t="s">
        <v>20</v>
      </c>
      <c r="F23" s="29">
        <f>_xlfn.XLOOKUP(Project_Pipeline_Model!$E23,tbl_budget[Budget Type],tbl_budget[Budget Value])</f>
        <v>1500000</v>
      </c>
      <c r="G23" s="29">
        <f>IF(Project_Pipeline_Model!$D23="Theatre",
(Model_Assumptions!$B$6*Model_Assumptions!$B$10*Model_Assumptions!$B$11)+Model_Assumptions!$B$8,
Model_Assumptions!$B$7+Model_Assumptions!$B$8)</f>
        <v>5000000</v>
      </c>
      <c r="H23" s="29">
        <f>Project_Pipeline_Model!$G23-Project_Pipeline_Model!$F23</f>
        <v>3500000</v>
      </c>
      <c r="I23" s="30">
        <f>Project_Pipeline_Model!$H23/Project_Pipeline_Model!$F23</f>
        <v>2.3333333333333335</v>
      </c>
      <c r="J23" s="31" t="str">
        <f>IF(Project_Pipeline_Model!$I23=MAX(ROI),"Top Performer","")</f>
        <v/>
      </c>
      <c r="K23" s="48" t="str">
        <f>IF(Project_Pipeline_Model!$H23&gt;0,"Go","Review")</f>
        <v>Go</v>
      </c>
      <c r="L23" s="29" t="s">
        <v>61</v>
      </c>
      <c r="M23" s="54">
        <f>AVERAGEIF(Project_Pipeline_Model!$C$14:$C$36,"Horror",Project_Pipeline_Model!$I$14:$I$36)</f>
        <v>1.5</v>
      </c>
    </row>
    <row r="24" spans="1:13">
      <c r="A24" s="39"/>
      <c r="B24" s="25"/>
      <c r="C24" s="25"/>
      <c r="D24" s="25"/>
      <c r="E24" s="25"/>
      <c r="F24" s="25"/>
      <c r="G24" s="25"/>
      <c r="H24" s="25"/>
      <c r="I24" s="26"/>
      <c r="J24" s="27" t="str">
        <f>IF(Project_Pipeline_Model!$I24=MAX(ROI),"Top Performer","")</f>
        <v/>
      </c>
      <c r="K24" s="28"/>
      <c r="L24" s="25" t="s">
        <v>62</v>
      </c>
      <c r="M24" s="55">
        <f>AVERAGEIF(Project_Pipeline_Model!$C$14:$C$36,"Thriller",Project_Pipeline_Model!$I$14:$I$36)</f>
        <v>3.2366666666666664</v>
      </c>
    </row>
    <row r="25" spans="1:13">
      <c r="A25" s="40"/>
      <c r="B25" s="29"/>
      <c r="C25" s="29"/>
      <c r="D25" s="29"/>
      <c r="E25" s="29"/>
      <c r="F25" s="29"/>
      <c r="G25" s="29"/>
      <c r="H25" s="29"/>
      <c r="I25" s="30"/>
      <c r="J25" s="31"/>
      <c r="K25" s="33"/>
      <c r="L25" s="29" t="s">
        <v>64</v>
      </c>
      <c r="M25" s="54">
        <f>AVERAGEIF(Project_Pipeline_Model!$D$14:$D$36,"Theatre",Project_Pipeline_Model!$I$14:$I$36)</f>
        <v>1.5</v>
      </c>
    </row>
    <row r="26" spans="1:13">
      <c r="A26" s="39"/>
      <c r="B26" s="25"/>
      <c r="C26" s="25"/>
      <c r="D26" s="25"/>
      <c r="E26" s="25"/>
      <c r="F26" s="25"/>
      <c r="G26" s="25"/>
      <c r="H26" s="25"/>
      <c r="I26" s="26"/>
      <c r="J26" s="27"/>
      <c r="K26" s="28"/>
      <c r="L26" s="25" t="s">
        <v>65</v>
      </c>
      <c r="M26" s="55">
        <f>AVERAGEIF(Project_Pipeline_Model!$D$14:$D$36,"Streaming",Project_Pipeline_Model!$I$14:$I$36)</f>
        <v>3.2366666666666664</v>
      </c>
    </row>
    <row r="27" spans="1:13">
      <c r="A27" s="40"/>
      <c r="B27" s="29"/>
      <c r="C27" s="29"/>
      <c r="D27" s="29"/>
      <c r="E27" s="29"/>
      <c r="F27" s="29"/>
      <c r="G27" s="29"/>
      <c r="H27" s="29"/>
      <c r="I27" s="30"/>
      <c r="J27" s="31"/>
      <c r="K27" s="33"/>
      <c r="L27" s="29" t="s">
        <v>66</v>
      </c>
      <c r="M27" s="53">
        <f>SUMIF(Project_Pipeline_Model!$D$14:$D$36,"Theatre",Project_Pipeline_Model!$H$14:$H$36)/10000000</f>
        <v>1.2</v>
      </c>
    </row>
    <row r="28" spans="1:13">
      <c r="A28" s="39"/>
      <c r="B28" s="25"/>
      <c r="C28" s="25"/>
      <c r="D28" s="25"/>
      <c r="E28" s="25"/>
      <c r="F28" s="25"/>
      <c r="G28" s="25"/>
      <c r="H28" s="25"/>
      <c r="I28" s="26"/>
      <c r="J28" s="27"/>
      <c r="K28" s="28"/>
      <c r="L28" s="25" t="s">
        <v>67</v>
      </c>
      <c r="M28" s="52">
        <f>SUMIF(D14:D23,"Streaming",H14:H23)/10000000</f>
        <v>10.199999999999999</v>
      </c>
    </row>
    <row r="29" spans="1:13">
      <c r="A29" s="40"/>
      <c r="B29" s="29"/>
      <c r="C29" s="29"/>
      <c r="D29" s="29"/>
      <c r="E29" s="29"/>
      <c r="F29" s="29"/>
      <c r="G29" s="29"/>
      <c r="H29" s="29"/>
      <c r="I29" s="30"/>
      <c r="J29" s="31"/>
      <c r="K29" s="33"/>
      <c r="L29" s="29" t="s">
        <v>68</v>
      </c>
      <c r="M29" s="50">
        <f>COUNTIF(Project_Pipeline_Model!$D$14:$D$36,"Theatre")</f>
        <v>6</v>
      </c>
    </row>
    <row r="30" spans="1:13">
      <c r="A30" s="39"/>
      <c r="B30" s="25"/>
      <c r="C30" s="25"/>
      <c r="D30" s="25"/>
      <c r="E30" s="25"/>
      <c r="F30" s="25"/>
      <c r="G30" s="25"/>
      <c r="H30" s="25"/>
      <c r="I30" s="26"/>
      <c r="J30" s="27"/>
      <c r="K30" s="28"/>
      <c r="L30" s="25" t="s">
        <v>69</v>
      </c>
      <c r="M30" s="51">
        <f>COUNTIF(Project_Pipeline_Model!$D$14:$D$36,"Streaming")</f>
        <v>4</v>
      </c>
    </row>
    <row r="31" spans="1:13">
      <c r="A31" s="40"/>
      <c r="B31" s="29"/>
      <c r="C31" s="29"/>
      <c r="D31" s="29"/>
      <c r="E31" s="29"/>
      <c r="F31" s="29"/>
      <c r="G31" s="29"/>
      <c r="H31" s="29"/>
      <c r="I31" s="30"/>
      <c r="J31" s="31"/>
      <c r="K31" s="33"/>
      <c r="L31" s="29" t="s">
        <v>78</v>
      </c>
      <c r="M31" s="56">
        <f t="array" ref="M31">_xlfn.STDEV.S(IF(D14:D23="Theatre",H14:H23))/10000000</f>
        <v>0.232379000772445</v>
      </c>
    </row>
    <row r="32" spans="1:13">
      <c r="A32" s="39"/>
      <c r="B32" s="25"/>
      <c r="C32" s="25"/>
      <c r="D32" s="25"/>
      <c r="E32" s="25"/>
      <c r="F32" s="25"/>
      <c r="G32" s="25"/>
      <c r="H32" s="25"/>
      <c r="I32" s="26"/>
      <c r="J32" s="27"/>
      <c r="K32" s="28"/>
      <c r="L32" s="25" t="s">
        <v>79</v>
      </c>
      <c r="M32" s="57">
        <f t="array" ref="M32">_xlfn.STDEV.S(IF(D14:D23="Streaming",H14:H23))/10000000</f>
        <v>1.096965511460289</v>
      </c>
    </row>
    <row r="33" spans="1:13">
      <c r="A33" s="40"/>
      <c r="B33" s="29"/>
      <c r="C33" s="29"/>
      <c r="D33" s="29"/>
      <c r="E33" s="29"/>
      <c r="F33" s="29"/>
      <c r="G33" s="29"/>
      <c r="H33" s="29"/>
      <c r="I33" s="30"/>
      <c r="J33" s="31"/>
      <c r="K33" s="33"/>
      <c r="L33" s="29" t="s">
        <v>80</v>
      </c>
      <c r="M33" s="29" t="str">
        <f>INDEX(B13:B22, MATCH(MAX(I13:I22), I13:I22, 0))</f>
        <v>Fractured Mind</v>
      </c>
    </row>
    <row r="34" spans="1:13">
      <c r="A34" s="49"/>
      <c r="B34" s="35"/>
      <c r="C34" s="35"/>
      <c r="D34" s="35"/>
      <c r="E34" s="35"/>
      <c r="F34" s="35"/>
      <c r="G34" s="35"/>
      <c r="H34" s="35"/>
      <c r="I34" s="36"/>
      <c r="J34" s="37"/>
      <c r="K34" s="38"/>
      <c r="L34" s="25" t="s">
        <v>81</v>
      </c>
      <c r="M34" s="25" t="str">
        <f>INDEX(B13:B22, MATCH(MIN(I13:I22), I13:I22, 0))</f>
        <v>The Unseen Corridor</v>
      </c>
    </row>
    <row r="35" spans="1:13">
      <c r="A35" s="44"/>
      <c r="B35" s="11"/>
      <c r="C35" s="11"/>
      <c r="D35" s="11"/>
      <c r="E35" s="11"/>
      <c r="F35" s="11"/>
      <c r="G35" s="11"/>
      <c r="H35" s="11"/>
      <c r="I35" s="45"/>
      <c r="J35" s="46"/>
      <c r="K35" s="11"/>
      <c r="L35" s="29"/>
      <c r="M35" s="33"/>
    </row>
    <row r="36" spans="1:13">
      <c r="A36" s="34"/>
      <c r="B36" s="35"/>
      <c r="C36" s="35"/>
      <c r="D36" s="35"/>
      <c r="E36" s="35"/>
      <c r="F36" s="35"/>
      <c r="G36" s="35"/>
      <c r="H36" s="35"/>
      <c r="I36" s="36"/>
      <c r="J36" s="37"/>
      <c r="K36" s="35"/>
      <c r="L36" s="35"/>
      <c r="M36" s="38"/>
    </row>
  </sheetData>
  <mergeCells count="4">
    <mergeCell ref="F2:G2"/>
    <mergeCell ref="F3:G3"/>
    <mergeCell ref="F8:G8"/>
    <mergeCell ref="F1:G1"/>
  </mergeCells>
  <phoneticPr fontId="4" type="noConversion"/>
  <conditionalFormatting sqref="H14:J34">
    <cfRule type="cellIs" dxfId="5" priority="3" operator="lessThan">
      <formula>0</formula>
    </cfRule>
  </conditionalFormatting>
  <conditionalFormatting sqref="I13:I23">
    <cfRule type="expression" dxfId="4" priority="1">
      <formula>I13=MIN($I$13:$I$22)</formula>
    </cfRule>
    <cfRule type="expression" dxfId="3" priority="2">
      <formula>I13=MAX($I$13:$I$22)</formula>
    </cfRule>
  </conditionalFormatting>
  <conditionalFormatting sqref="K14:K34">
    <cfRule type="cellIs" dxfId="2" priority="4" operator="equal">
      <formula>"Go"</formula>
    </cfRule>
    <cfRule type="cellIs" dxfId="1" priority="5" operator="equal">
      <formula>"Go"</formula>
    </cfRule>
    <cfRule type="cellIs" dxfId="0" priority="6" operator="equal">
      <formula>"Review"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1EF9-88E5-48D2-B70C-ADDF95A869C3}">
  <dimension ref="A1:O17"/>
  <sheetViews>
    <sheetView showGridLines="0" tabSelected="1" zoomScaleNormal="100" workbookViewId="0">
      <selection activeCell="T21" sqref="T21"/>
    </sheetView>
  </sheetViews>
  <sheetFormatPr defaultRowHeight="14.5"/>
  <sheetData>
    <row r="1" spans="1:15" ht="28.5">
      <c r="E1" s="23" t="s">
        <v>90</v>
      </c>
      <c r="F1" s="23"/>
      <c r="G1" s="23"/>
      <c r="H1" s="23"/>
      <c r="I1" s="23"/>
      <c r="J1" s="23"/>
      <c r="K1" s="23"/>
      <c r="L1" s="23"/>
      <c r="M1" s="24"/>
      <c r="N1" s="24"/>
      <c r="O1" s="24"/>
    </row>
    <row r="3" spans="1:15">
      <c r="A3" s="18" t="s">
        <v>15</v>
      </c>
      <c r="B3" s="18" t="s">
        <v>84</v>
      </c>
    </row>
    <row r="4" spans="1:15">
      <c r="A4" s="19" t="s">
        <v>19</v>
      </c>
      <c r="B4" s="20">
        <v>1.5</v>
      </c>
    </row>
    <row r="5" spans="1:15">
      <c r="A5" s="21" t="s">
        <v>23</v>
      </c>
      <c r="B5" s="20">
        <v>3.24</v>
      </c>
    </row>
    <row r="8" spans="1:15">
      <c r="A8" s="18" t="s">
        <v>14</v>
      </c>
      <c r="B8" s="18" t="s">
        <v>85</v>
      </c>
    </row>
    <row r="9" spans="1:15">
      <c r="A9" s="22" t="s">
        <v>18</v>
      </c>
      <c r="B9" s="22">
        <v>1.2</v>
      </c>
    </row>
    <row r="10" spans="1:15">
      <c r="A10" s="22" t="s">
        <v>22</v>
      </c>
      <c r="B10" s="22">
        <v>10.199999999999999</v>
      </c>
    </row>
    <row r="13" spans="1:15">
      <c r="A13" s="18" t="s">
        <v>86</v>
      </c>
      <c r="B13" s="18" t="s">
        <v>87</v>
      </c>
    </row>
    <row r="14" spans="1:15">
      <c r="A14" s="22" t="s">
        <v>88</v>
      </c>
      <c r="B14" s="22">
        <v>8</v>
      </c>
    </row>
    <row r="15" spans="1:15">
      <c r="A15" s="22" t="s">
        <v>89</v>
      </c>
      <c r="B15" s="22">
        <v>2</v>
      </c>
      <c r="L15" s="11"/>
      <c r="M15" s="11"/>
    </row>
    <row r="16" spans="1:15">
      <c r="L16" s="11"/>
      <c r="M16" s="11"/>
    </row>
    <row r="17" spans="12:13">
      <c r="L17" s="11"/>
      <c r="M17" s="11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328AA-7DE7-43C3-93FA-884868EF9D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Model_Assumptions</vt:lpstr>
      <vt:lpstr>Project_Pipeline_Model</vt:lpstr>
      <vt:lpstr>Executive_Dashboard</vt:lpstr>
      <vt:lpstr>ROI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Harwani</dc:creator>
  <cp:lastModifiedBy>Kirti Harwani</cp:lastModifiedBy>
  <dcterms:created xsi:type="dcterms:W3CDTF">2026-02-17T14:28:38Z</dcterms:created>
  <dcterms:modified xsi:type="dcterms:W3CDTF">2026-03-06T16:40:34Z</dcterms:modified>
</cp:coreProperties>
</file>